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Mr RAKAN\مرفقات قضية شيلد\"/>
    </mc:Choice>
  </mc:AlternateContent>
  <xr:revisionPtr revIDLastSave="0" documentId="13_ncr:1_{51DFAA2F-2093-4EF2-AD4C-390919B152B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ملخص المستحقات" sheetId="45" r:id="rId1"/>
    <sheet name="التكاليف المباشرة" sheetId="55" r:id="rId2"/>
    <sheet name="التكاليف عير المباشرة" sheetId="47" r:id="rId3"/>
    <sheet name="اعمال تغيرية" sheetId="54" r:id="rId4"/>
    <sheet name="فوات الربح" sheetId="49" r:id="rId5"/>
  </sheets>
  <externalReferences>
    <externalReference r:id="rId6"/>
    <externalReference r:id="rId7"/>
    <externalReference r:id="rId8"/>
    <externalReference r:id="rId9"/>
  </externalReferences>
  <definedNames>
    <definedName name="A">'[1]Plumbing workings'!$F$165</definedName>
    <definedName name="aa">#REF!</definedName>
    <definedName name="AAA">#REF!</definedName>
    <definedName name="AAB">#REF!</definedName>
    <definedName name="AAC">#REF!</definedName>
    <definedName name="AAD">#REF!</definedName>
    <definedName name="AAE">#REF!</definedName>
    <definedName name="AAF">#REF!</definedName>
    <definedName name="ABC">#REF!</definedName>
    <definedName name="AD">'[1]HVAC Workings'!$F$167</definedName>
    <definedName name="ADD">'[1]Plumbing workings'!$F$163</definedName>
    <definedName name="Amt_Contingency">#REF!</definedName>
    <definedName name="AMT_CONTINGENCY_FEE">[2]공사수행방안!#REF!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BAK">[1]civil_workings!$F$195</definedName>
    <definedName name="BANK">'[1]HVAC Workings'!$F$169</definedName>
    <definedName name="BBB">#REF!</definedName>
    <definedName name="CCC">#REF!</definedName>
    <definedName name="Client">'[3]Project Brief'!$E$11</definedName>
    <definedName name="CM">'[3]Project Brief'!$E$27</definedName>
    <definedName name="Cost_Temp.Equip">#REF!</definedName>
    <definedName name="Date_Bidding">'[3]Project Brief'!$E$110</definedName>
    <definedName name="DDD">#REF!</definedName>
    <definedName name="DE">[1]civil_workings!$F$194</definedName>
    <definedName name="DEP">'[1]Plumbing workings'!$F$164</definedName>
    <definedName name="DEPN">'[1]HVAC Workings'!$F$168</definedName>
    <definedName name="DM">[1]civil_workings!$F$193</definedName>
    <definedName name="EEE">#REF!</definedName>
    <definedName name="equip">#REF!</definedName>
    <definedName name="Exchange_Rate">'[3]Project Brief'!$E$100</definedName>
    <definedName name="FFF">#REF!</definedName>
    <definedName name="GGG">#REF!</definedName>
    <definedName name="HHH">#REF!</definedName>
    <definedName name="Inc.Tax_Korean">#REF!</definedName>
    <definedName name="Inc.Tax_Local.Reg">#REF!</definedName>
    <definedName name="Inc.Tax_Third.N">#REF!</definedName>
    <definedName name="KKK">#REF!</definedName>
    <definedName name="LLL">#REF!</definedName>
    <definedName name="MM_Korean">#REF!</definedName>
    <definedName name="MM_Local.Reg">#REF!</definedName>
    <definedName name="MM_Third.Nation">#REF!</definedName>
    <definedName name="MMM">#REF!</definedName>
    <definedName name="NNN">#REF!</definedName>
    <definedName name="OngoingProjects">#REF!</definedName>
    <definedName name="OOO">#REF!</definedName>
    <definedName name="Out_of_Scope">'[3]Project Brief'!$E$64</definedName>
    <definedName name="P">#REF!</definedName>
    <definedName name="PE">'[1]Plumbing workings'!$F$162</definedName>
    <definedName name="PER">'[1]HVAC Workings'!$F$166</definedName>
    <definedName name="Period_Const">'[3]Project Brief'!$E$38</definedName>
    <definedName name="Period_Excav">#REF!</definedName>
    <definedName name="Period_Struc">#REF!</definedName>
    <definedName name="PHYO">#REF!</definedName>
    <definedName name="PP">[1]civil_workings!$F$192</definedName>
    <definedName name="PPP">#REF!</definedName>
    <definedName name="pr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_xlnm.Print_Area" localSheetId="3">'اعمال تغيرية'!$B$3:$E$7</definedName>
    <definedName name="_xlnm.Print_Area" localSheetId="1">'التكاليف المباشرة'!$B$2:$E$14</definedName>
    <definedName name="_xlnm.Print_Area" localSheetId="2">'التكاليف عير المباشرة'!$B$2:$E$10</definedName>
    <definedName name="_xlnm.Print_Area" localSheetId="4">'فوات الربح'!$B$3:$E$9</definedName>
    <definedName name="_xlnm.Print_Area" localSheetId="0">'ملخص المستحقات'!$B$2:$E$12</definedName>
    <definedName name="_xlnm.Print_Area">#REF!</definedName>
    <definedName name="PRINT_AREA_MI">#REF!</definedName>
    <definedName name="Project_Type">'[4]PROJECT BRIEF'!#REF!</definedName>
    <definedName name="q">#REF!</definedName>
    <definedName name="QQQ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rf">#REF!</definedName>
    <definedName name="RRR">#REF!</definedName>
    <definedName name="Sal.Escal_Korean">#REF!</definedName>
    <definedName name="Sal.Escal_Local.Reg">#REF!</definedName>
    <definedName name="Sal.Escal_Third.N">#REF!</definedName>
    <definedName name="Salary_Korean">#REF!</definedName>
    <definedName name="Salary_Local.Reg">#REF!</definedName>
    <definedName name="Salary_Third.N">#REF!</definedName>
    <definedName name="SSS">#REF!</definedName>
    <definedName name="Status">'[4]PROJECT BRIEF'!#REF!</definedName>
    <definedName name="Story_Basement">#REF!</definedName>
    <definedName name="Story_Podium">#REF!</definedName>
    <definedName name="Story_Total">'[3]Project Brief'!$E$35</definedName>
    <definedName name="Story_Tower">#REF!</definedName>
    <definedName name="Struct_Type">'[3]Project Brief'!$E$36</definedName>
    <definedName name="Tot.Cost_SiteExp">#REF!</definedName>
    <definedName name="Tot.Cost_TempWk">#REF!</definedName>
    <definedName name="Total_Floor_Area">'[3]Project Brief'!$E$34</definedName>
    <definedName name="TTT">#REF!</definedName>
    <definedName name="UUU">#REF!</definedName>
    <definedName name="VVV">#REF!</definedName>
    <definedName name="WWW">#REF!</definedName>
    <definedName name="XXX">#REF!</definedName>
    <definedName name="YYY">#REF!</definedName>
    <definedName name="ZZZ">#REF!</definedName>
  </definedNames>
  <calcPr calcId="191029" iterate="1" iterateCount="10" iterateDelta="0.1"/>
</workbook>
</file>

<file path=xl/calcChain.xml><?xml version="1.0" encoding="utf-8"?>
<calcChain xmlns="http://schemas.openxmlformats.org/spreadsheetml/2006/main">
  <c r="B4" i="55" l="1"/>
  <c r="B6" i="55" s="1"/>
  <c r="B7" i="55"/>
  <c r="B12" i="55" s="1"/>
  <c r="B11" i="55"/>
  <c r="B9" i="55"/>
  <c r="B6" i="47"/>
  <c r="B5" i="49"/>
  <c r="B7" i="49" s="1"/>
  <c r="B9" i="49" s="1"/>
  <c r="B6" i="45" s="1"/>
  <c r="B8" i="47" l="1"/>
  <c r="B10" i="47" s="1"/>
  <c r="B4" i="45" s="1"/>
  <c r="B10" i="55"/>
  <c r="B8" i="55"/>
  <c r="B7" i="54"/>
  <c r="B5" i="45" s="1"/>
  <c r="B14" i="55" l="1"/>
  <c r="B3" i="45" s="1"/>
  <c r="B12" i="45" s="1"/>
</calcChain>
</file>

<file path=xl/sharedStrings.xml><?xml version="1.0" encoding="utf-8"?>
<sst xmlns="http://schemas.openxmlformats.org/spreadsheetml/2006/main" count="55" uniqueCount="42">
  <si>
    <t>المبلغ</t>
  </si>
  <si>
    <t xml:space="preserve">الإستحقاقات </t>
  </si>
  <si>
    <t>اجمالي الإستحقاقات</t>
  </si>
  <si>
    <t xml:space="preserve"> التكاليف الغير مباشرة نتيجة تأخير المشروع</t>
  </si>
  <si>
    <t>المدة الاصلية للعقد</t>
  </si>
  <si>
    <t>نسبة المصاريف غير المباشرة 5% عن اليوم الواحد</t>
  </si>
  <si>
    <t>التكاليف الغير مباشرة نتيجة تأخير المشروع</t>
  </si>
  <si>
    <t>االاجمالي</t>
  </si>
  <si>
    <t xml:space="preserve"> فوات الربح</t>
  </si>
  <si>
    <t>القيمة الاصلية للعقد</t>
  </si>
  <si>
    <t xml:space="preserve">قيمة الربح للمشروع 10% </t>
  </si>
  <si>
    <t>قيمة الربح عن اليوم الواحد</t>
  </si>
  <si>
    <t>فوات الربح</t>
  </si>
  <si>
    <t xml:space="preserve">المبالغ المستحقة نتيجة الاعمال التغيرية والفروقات </t>
  </si>
  <si>
    <t xml:space="preserve">نسبة المصاريف غير المباشرة </t>
  </si>
  <si>
    <t>التكاليف المباشرة نتيجة تمديد مدة المشروع</t>
  </si>
  <si>
    <t>التكاليف الغير المباشرة نتيجة تمديد مدة المشروع</t>
  </si>
  <si>
    <t>الأعمال التغييرية</t>
  </si>
  <si>
    <t xml:space="preserve"> التكاليف المباشرة نتيجة تأخير المشروع</t>
  </si>
  <si>
    <t>نسبة المصاريف المباشرة عن اليوم الواحد</t>
  </si>
  <si>
    <t>القيمة الاصلية للعقد بدون الربح (10%) والتكاليف الغير مباشرة (5%)</t>
  </si>
  <si>
    <t xml:space="preserve">نسبة المصاريف  المباشرة (30%من تكلفة المشروع بدون الربح او التكاليف الغير مباشرة) </t>
  </si>
  <si>
    <t>أعمال تغيرية نتيجة زيادة تكاليف عدادات الكهرباء</t>
  </si>
  <si>
    <t>تكاليف اضافية نتيجة المصروفات الزائدة اثناء جائحة كورونا</t>
  </si>
  <si>
    <t>المبالغ المستحقة حسب نسب الانجاز والتي لم يستلمها المقاول (الدفعة 49)</t>
  </si>
  <si>
    <t>نسبة تكلفة بوالص تأمين المشروع والموظفين (200,000.00 عن 28 شهر) عن اليوم الواحد</t>
  </si>
  <si>
    <t>رسوم كفالة حسن التنفيذ (300,000.00 عن 28 شهر) عن اليوم الواحد</t>
  </si>
  <si>
    <t xml:space="preserve">التكاليف الغير مباشرة نتيجة تأخير المشروع </t>
  </si>
  <si>
    <t xml:space="preserve">نسبة المصاريف غير المباشرة 5% عن أيام التأخير </t>
  </si>
  <si>
    <t>التعويض المادى نتيجة تخفيض التصنيف الائتمانى نتيجة تسييل الكفالات</t>
  </si>
  <si>
    <t>عدد ايام التأخير المبررة بدون الايام المبررة لجائحة كورونا والتمديد الاول (1284-120-436)</t>
  </si>
  <si>
    <t>م</t>
  </si>
  <si>
    <t>التكاليف المباشرة نتيجة تأخير المشروع 6+8+10+11</t>
  </si>
  <si>
    <t>رسوم تجديد كفالة الدفعة المقدمة عن الفترة من يناير 2022 حتي أغسطس 2023</t>
  </si>
  <si>
    <t>تكلفة رسوم كفالة حسن التنفيذ عن أيام التأخير</t>
  </si>
  <si>
    <t xml:space="preserve">تكلفة بوالص تأمين المشروع والموظفين عن أيام التأخير </t>
  </si>
  <si>
    <t xml:space="preserve">نسبة المصاريف المباشرة عن أيام التأخير </t>
  </si>
  <si>
    <t>أعمال تغييرية نتيجة تغييرات فرش الاطقم الصحية (توفير لصالح المالك)</t>
  </si>
  <si>
    <r>
      <t xml:space="preserve">المواد والمعدات المشونة بالموقع - </t>
    </r>
    <r>
      <rPr>
        <b/>
        <u/>
        <sz val="14"/>
        <color rgb="FF000000"/>
        <rFont val="Sakkal Majalla"/>
        <charset val="178"/>
      </rPr>
      <t>لطفا مرفق رقم</t>
    </r>
    <r>
      <rPr>
        <sz val="14"/>
        <color rgb="FF000000"/>
        <rFont val="Sakkal Majalla"/>
        <charset val="178"/>
      </rPr>
      <t xml:space="preserve"> </t>
    </r>
    <r>
      <rPr>
        <b/>
        <u/>
        <sz val="14"/>
        <color rgb="FF000000"/>
        <rFont val="Sakkal Majalla"/>
        <charset val="178"/>
      </rPr>
      <t>(30)</t>
    </r>
  </si>
  <si>
    <r>
      <t xml:space="preserve">باقي كفالة الدفعة المقدمة  - </t>
    </r>
    <r>
      <rPr>
        <b/>
        <u/>
        <sz val="14"/>
        <rFont val="Sakkal Majalla"/>
        <charset val="178"/>
      </rPr>
      <t>لطفا مرفق (29)</t>
    </r>
  </si>
  <si>
    <t xml:space="preserve">مبلغ كفالة الدفعة حسن التنفيذ والتى تم تسييلها من قبل المالك </t>
  </si>
  <si>
    <t xml:space="preserve">مبلغ كفالة الطرق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</si>
</sst>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11"/>
      <name val="Calibri"/>
      <family val="2"/>
    </font>
    <font>
      <sz val="10"/>
      <color theme="0" tint="-0.34998626667073579"/>
      <name val="Arial"/>
      <family val="2"/>
    </font>
    <font>
      <sz val="10"/>
      <name val="MS Sans Serif"/>
      <family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4"/>
      <name val="Sakkal Majalla"/>
      <charset val="178"/>
    </font>
    <font>
      <b/>
      <sz val="14"/>
      <name val="Sakkal Majalla"/>
      <charset val="178"/>
    </font>
    <font>
      <b/>
      <sz val="14"/>
      <color rgb="FF000000"/>
      <name val="Sakkal Majalla"/>
      <charset val="178"/>
    </font>
    <font>
      <sz val="14"/>
      <color rgb="FF000000"/>
      <name val="Sakkal Majalla"/>
      <charset val="178"/>
    </font>
    <font>
      <b/>
      <u/>
      <sz val="14"/>
      <color rgb="FF000000"/>
      <name val="Sakkal Majalla"/>
      <charset val="178"/>
    </font>
    <font>
      <b/>
      <u/>
      <sz val="14"/>
      <name val="Sakkal Majalla"/>
      <charset val="17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4" fillId="0" borderId="0"/>
    <xf numFmtId="40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7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2"/>
    <xf numFmtId="0" fontId="2" fillId="0" borderId="0" xfId="2" applyFont="1"/>
    <xf numFmtId="164" fontId="3" fillId="0" borderId="0" xfId="3" applyFont="1"/>
    <xf numFmtId="164" fontId="3" fillId="0" borderId="0" xfId="2" applyNumberFormat="1" applyFont="1"/>
    <xf numFmtId="164" fontId="1" fillId="0" borderId="0" xfId="2" applyNumberFormat="1"/>
    <xf numFmtId="164" fontId="0" fillId="0" borderId="0" xfId="3" applyFont="1"/>
    <xf numFmtId="164" fontId="6" fillId="0" borderId="5" xfId="3" applyFont="1" applyBorder="1" applyAlignment="1">
      <alignment horizontal="right"/>
    </xf>
    <xf numFmtId="0" fontId="6" fillId="0" borderId="5" xfId="2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9" fontId="6" fillId="0" borderId="5" xfId="1" applyFont="1" applyBorder="1" applyAlignment="1">
      <alignment horizontal="right"/>
    </xf>
    <xf numFmtId="43" fontId="0" fillId="0" borderId="0" xfId="9" applyFont="1"/>
    <xf numFmtId="43" fontId="1" fillId="0" borderId="0" xfId="9" applyFont="1"/>
    <xf numFmtId="43" fontId="1" fillId="0" borderId="0" xfId="2" applyNumberFormat="1"/>
    <xf numFmtId="0" fontId="6" fillId="0" borderId="1" xfId="2" applyFont="1" applyBorder="1" applyAlignment="1">
      <alignment horizontal="right"/>
    </xf>
    <xf numFmtId="0" fontId="6" fillId="0" borderId="2" xfId="2" applyFont="1" applyBorder="1" applyAlignment="1">
      <alignment horizontal="right"/>
    </xf>
    <xf numFmtId="0" fontId="5" fillId="2" borderId="3" xfId="2" applyFont="1" applyFill="1" applyBorder="1"/>
    <xf numFmtId="0" fontId="5" fillId="2" borderId="4" xfId="2" applyFont="1" applyFill="1" applyBorder="1" applyAlignment="1">
      <alignment horizontal="right"/>
    </xf>
    <xf numFmtId="43" fontId="5" fillId="2" borderId="3" xfId="9" applyFont="1" applyFill="1" applyBorder="1"/>
    <xf numFmtId="0" fontId="5" fillId="2" borderId="7" xfId="2" applyFont="1" applyFill="1" applyBorder="1" applyAlignment="1">
      <alignment horizontal="right"/>
    </xf>
    <xf numFmtId="0" fontId="6" fillId="0" borderId="8" xfId="2" applyFont="1" applyBorder="1" applyAlignment="1">
      <alignment horizontal="right"/>
    </xf>
    <xf numFmtId="0" fontId="5" fillId="2" borderId="9" xfId="2" applyFont="1" applyFill="1" applyBorder="1" applyAlignment="1">
      <alignment horizontal="center"/>
    </xf>
    <xf numFmtId="0" fontId="8" fillId="0" borderId="11" xfId="2" applyFont="1" applyBorder="1" applyAlignment="1">
      <alignment horizontal="center"/>
    </xf>
    <xf numFmtId="0" fontId="5" fillId="2" borderId="10" xfId="2" applyFont="1" applyFill="1" applyBorder="1"/>
    <xf numFmtId="0" fontId="9" fillId="2" borderId="12" xfId="2" applyFont="1" applyFill="1" applyBorder="1"/>
    <xf numFmtId="0" fontId="9" fillId="2" borderId="12" xfId="2" applyFont="1" applyFill="1" applyBorder="1" applyAlignment="1">
      <alignment horizontal="right"/>
    </xf>
    <xf numFmtId="0" fontId="8" fillId="2" borderId="9" xfId="2" applyFont="1" applyFill="1" applyBorder="1" applyAlignment="1">
      <alignment horizontal="center"/>
    </xf>
    <xf numFmtId="9" fontId="8" fillId="0" borderId="13" xfId="1" applyFont="1" applyBorder="1" applyAlignment="1">
      <alignment horizontal="right"/>
    </xf>
    <xf numFmtId="0" fontId="8" fillId="0" borderId="13" xfId="2" applyFont="1" applyBorder="1" applyAlignment="1">
      <alignment horizontal="right"/>
    </xf>
    <xf numFmtId="164" fontId="8" fillId="0" borderId="13" xfId="3" applyFont="1" applyBorder="1" applyAlignment="1">
      <alignment horizontal="right"/>
    </xf>
    <xf numFmtId="0" fontId="8" fillId="0" borderId="13" xfId="2" applyFont="1" applyBorder="1" applyAlignment="1">
      <alignment horizontal="right"/>
    </xf>
    <xf numFmtId="164" fontId="8" fillId="0" borderId="13" xfId="2" applyNumberFormat="1" applyFont="1" applyBorder="1" applyAlignment="1">
      <alignment horizontal="right"/>
    </xf>
    <xf numFmtId="164" fontId="9" fillId="2" borderId="14" xfId="3" applyFont="1" applyFill="1" applyBorder="1" applyAlignment="1">
      <alignment horizontal="right"/>
    </xf>
    <xf numFmtId="0" fontId="9" fillId="2" borderId="14" xfId="2" applyFont="1" applyFill="1" applyBorder="1" applyAlignment="1">
      <alignment horizontal="right"/>
    </xf>
    <xf numFmtId="0" fontId="8" fillId="2" borderId="10" xfId="2" applyFont="1" applyFill="1" applyBorder="1" applyAlignment="1">
      <alignment horizontal="center"/>
    </xf>
    <xf numFmtId="164" fontId="8" fillId="0" borderId="5" xfId="3" applyFont="1" applyBorder="1" applyAlignment="1">
      <alignment horizontal="right"/>
    </xf>
    <xf numFmtId="0" fontId="8" fillId="0" borderId="5" xfId="2" applyFont="1" applyBorder="1" applyAlignment="1">
      <alignment horizontal="right"/>
    </xf>
    <xf numFmtId="0" fontId="9" fillId="2" borderId="3" xfId="2" applyFont="1" applyFill="1" applyBorder="1"/>
    <xf numFmtId="164" fontId="9" fillId="2" borderId="6" xfId="3" applyFont="1" applyFill="1" applyBorder="1" applyAlignment="1">
      <alignment horizontal="right"/>
    </xf>
    <xf numFmtId="0" fontId="8" fillId="2" borderId="10" xfId="2" applyFont="1" applyFill="1" applyBorder="1"/>
    <xf numFmtId="164" fontId="8" fillId="0" borderId="5" xfId="2" applyNumberFormat="1" applyFont="1" applyBorder="1" applyAlignment="1">
      <alignment horizontal="right"/>
    </xf>
    <xf numFmtId="4" fontId="11" fillId="0" borderId="5" xfId="2" applyNumberFormat="1" applyFont="1" applyBorder="1" applyAlignment="1">
      <alignment horizontal="right" vertical="center"/>
    </xf>
    <xf numFmtId="0" fontId="11" fillId="0" borderId="13" xfId="2" applyFont="1" applyBorder="1" applyAlignment="1">
      <alignment horizontal="right" vertical="center" readingOrder="2"/>
    </xf>
    <xf numFmtId="0" fontId="8" fillId="0" borderId="13" xfId="2" applyFont="1" applyBorder="1" applyAlignment="1">
      <alignment horizontal="right" wrapText="1"/>
    </xf>
    <xf numFmtId="0" fontId="10" fillId="2" borderId="3" xfId="2" applyFont="1" applyFill="1" applyBorder="1" applyAlignment="1">
      <alignment horizontal="center" vertical="center" wrapText="1" readingOrder="2"/>
    </xf>
    <xf numFmtId="0" fontId="10" fillId="2" borderId="12" xfId="2" applyFont="1" applyFill="1" applyBorder="1" applyAlignment="1">
      <alignment horizontal="center" vertical="center" wrapText="1" readingOrder="2"/>
    </xf>
    <xf numFmtId="4" fontId="10" fillId="2" borderId="6" xfId="2" applyNumberFormat="1" applyFont="1" applyFill="1" applyBorder="1" applyAlignment="1">
      <alignment horizontal="right" vertical="center"/>
    </xf>
    <xf numFmtId="0" fontId="10" fillId="2" borderId="14" xfId="2" applyFont="1" applyFill="1" applyBorder="1" applyAlignment="1">
      <alignment horizontal="center" vertical="center" readingOrder="2"/>
    </xf>
  </cellXfs>
  <cellStyles count="10">
    <cellStyle name="Comma" xfId="9" builtinId="3"/>
    <cellStyle name="Comma 2" xfId="3" xr:uid="{3BDF81E9-7388-4FC3-A409-9BB838FD1D59}"/>
    <cellStyle name="Comma 2 2" xfId="5" xr:uid="{1548A6CD-D1C0-4914-9550-26CB071F9FDC}"/>
    <cellStyle name="Normal" xfId="0" builtinId="0"/>
    <cellStyle name="Normal 2" xfId="2" xr:uid="{72E0BE56-C580-43C4-85F4-B9C4681A2596}"/>
    <cellStyle name="Normal 2 2" xfId="4" xr:uid="{30A75FA3-8D02-4289-BC67-119109C772B1}"/>
    <cellStyle name="Normal 4" xfId="8" xr:uid="{846D98AF-4C96-449E-833A-6A13076E0528}"/>
    <cellStyle name="Percent" xfId="1" builtinId="5"/>
    <cellStyle name="千位分隔 2" xfId="6" xr:uid="{4BDCF654-09B9-4838-8555-9CE34818301C}"/>
    <cellStyle name="常规 2" xfId="7" xr:uid="{E3BF44C4-89BD-4AB9-869C-DF8818EBE3AA}"/>
  </cellStyles>
  <dxfs count="0"/>
  <tableStyles count="0" defaultTableStyle="TableStyleMedium9" defaultPivotStyle="PivotStyleLight16"/>
  <colors>
    <mruColors>
      <color rgb="FF0000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:\Finance\MIS%202010\BUDGET%202010\BUDGET%20%20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&#51077;&#52272;&#54408;&#51032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Brie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single\email\temp\AAProject\Novena\MOE\DATA\PROTO-4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MN EXP"/>
      <sheetName val="PERSONNEL EXP SPLIT UP"/>
      <sheetName val="budget2010 (2)"/>
      <sheetName val="Divisionwise Final"/>
      <sheetName val="Divisionwise"/>
      <sheetName val="budget2010"/>
      <sheetName val="budget2010 (3)"/>
      <sheetName val="HVAC"/>
      <sheetName val="HVAC Workings"/>
      <sheetName val="Plumbing"/>
      <sheetName val="Plumbing workings"/>
      <sheetName val="civil"/>
      <sheetName val="civil_workings"/>
      <sheetName val="fire"/>
      <sheetName val="fire_workings"/>
      <sheetName val="elec"/>
      <sheetName val="elec_workings"/>
      <sheetName val="id"/>
      <sheetName val="id_workings (2)"/>
      <sheetName val="id_workings"/>
      <sheetName val="mech"/>
      <sheetName val="mech_workings"/>
      <sheetName val="Oil"/>
      <sheetName val="Oil_workings"/>
      <sheetName val="general"/>
      <sheetName val="comparis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66">
          <cell r="F166">
            <v>58757.166666666664</v>
          </cell>
        </row>
        <row r="167">
          <cell r="F167">
            <v>5199.9999999999964</v>
          </cell>
        </row>
        <row r="168">
          <cell r="F168">
            <v>6041.666666666667</v>
          </cell>
        </row>
        <row r="169">
          <cell r="F169">
            <v>9687.5</v>
          </cell>
        </row>
      </sheetData>
      <sheetData sheetId="9"/>
      <sheetData sheetId="10">
        <row r="162">
          <cell r="F162">
            <v>51120.533333333333</v>
          </cell>
        </row>
        <row r="163">
          <cell r="F163">
            <v>3349.9999999999982</v>
          </cell>
        </row>
        <row r="164">
          <cell r="F164">
            <v>3429.1666666666665</v>
          </cell>
        </row>
        <row r="165">
          <cell r="F165">
            <v>4500</v>
          </cell>
        </row>
      </sheetData>
      <sheetData sheetId="11"/>
      <sheetData sheetId="12">
        <row r="192">
          <cell r="F192">
            <v>38697.75</v>
          </cell>
        </row>
        <row r="193">
          <cell r="F193">
            <v>4050</v>
          </cell>
        </row>
        <row r="194">
          <cell r="F194">
            <v>2100</v>
          </cell>
        </row>
        <row r="195">
          <cell r="F195">
            <v>6000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  차"/>
      <sheetName val="품  의"/>
      <sheetName val="TSum(원안) "/>
      <sheetName val="TSum(대안1) "/>
      <sheetName val="TSum(대안2) "/>
      <sheetName val="Project Brief"/>
      <sheetName val="공사수행방안"/>
      <sheetName val="PC SUM"/>
      <sheetName val="제출용"/>
      <sheetName val="조직도 "/>
      <sheetName val="MANNING"/>
      <sheetName val="현장경비"/>
      <sheetName val="가설공사"/>
      <sheetName val="자재단가비교표"/>
      <sheetName val="지계"/>
      <sheetName val="Programme of work"/>
      <sheetName val="목__차"/>
      <sheetName val="품__의"/>
      <sheetName val="TSum(원안)_"/>
      <sheetName val="TSum(대안1)_"/>
      <sheetName val="TSum(대안2)_"/>
      <sheetName val="Project_Brief"/>
      <sheetName val="PC_SUM"/>
      <sheetName val="조직도_"/>
      <sheetName val="Programme_of_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Load"/>
      <sheetName val="적용률"/>
      <sheetName val="Sheet5"/>
    </sheetNames>
    <sheetDataSet>
      <sheetData sheetId="0">
        <row r="11">
          <cell r="E11" t="str">
            <v>Nova Park Cairo S.A.E.</v>
          </cell>
        </row>
        <row r="27">
          <cell r="E27" t="str">
            <v>International Bechtel Company Limited</v>
          </cell>
        </row>
        <row r="34">
          <cell r="E34">
            <v>140000</v>
          </cell>
        </row>
        <row r="35">
          <cell r="E35" t="str">
            <v>30 Storey with 4 Basement</v>
          </cell>
        </row>
        <row r="36">
          <cell r="E36" t="str">
            <v>R.C.</v>
          </cell>
        </row>
        <row r="38">
          <cell r="E38">
            <v>43</v>
          </cell>
        </row>
        <row r="64">
          <cell r="E64" t="str">
            <v>Diagharm wall</v>
          </cell>
        </row>
        <row r="100">
          <cell r="E100" t="str">
            <v>1 US$ = 3.40 L.E.</v>
          </cell>
        </row>
        <row r="110">
          <cell r="E110" t="str">
            <v>1998. 10. 26  12:00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표지"/>
      <sheetName val="하수급견적대비"/>
      <sheetName val="조건"/>
      <sheetName val="TC표지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0EF-C37D-4534-B41E-DDD25685ED00}">
  <dimension ref="A1:F19"/>
  <sheetViews>
    <sheetView tabSelected="1" view="pageBreakPreview" zoomScale="130" zoomScaleNormal="140" zoomScaleSheetLayoutView="130" workbookViewId="0">
      <selection activeCell="C8" sqref="C8:D8"/>
    </sheetView>
  </sheetViews>
  <sheetFormatPr defaultColWidth="11.42578125" defaultRowHeight="12.75" x14ac:dyDescent="0.2"/>
  <cols>
    <col min="1" max="1" width="11.7109375" style="1" bestFit="1" customWidth="1"/>
    <col min="2" max="2" width="19.5703125" style="1" bestFit="1" customWidth="1"/>
    <col min="3" max="3" width="56.42578125" style="1" bestFit="1" customWidth="1"/>
    <col min="4" max="4" width="4.85546875" style="1" customWidth="1"/>
    <col min="5" max="5" width="5.42578125" style="1" customWidth="1"/>
    <col min="6" max="6" width="15" style="1" bestFit="1" customWidth="1"/>
    <col min="7" max="8" width="13.7109375" style="1" bestFit="1" customWidth="1"/>
    <col min="9" max="16384" width="11.42578125" style="1"/>
  </cols>
  <sheetData>
    <row r="1" spans="1:6" ht="13.5" thickBot="1" x14ac:dyDescent="0.25"/>
    <row r="2" spans="1:6" ht="21.75" x14ac:dyDescent="0.5">
      <c r="A2" s="2"/>
      <c r="B2" s="44" t="s">
        <v>0</v>
      </c>
      <c r="C2" s="45" t="s">
        <v>1</v>
      </c>
      <c r="D2" s="45"/>
      <c r="E2" s="26" t="s">
        <v>31</v>
      </c>
    </row>
    <row r="3" spans="1:6" ht="21.75" x14ac:dyDescent="0.5">
      <c r="A3" s="2"/>
      <c r="B3" s="41">
        <f>'التكاليف المباشرة'!B14</f>
        <v>10022802.6</v>
      </c>
      <c r="C3" s="42" t="s">
        <v>15</v>
      </c>
      <c r="D3" s="42"/>
      <c r="E3" s="22">
        <v>1</v>
      </c>
    </row>
    <row r="4" spans="1:6" ht="21.75" x14ac:dyDescent="0.5">
      <c r="A4" s="2"/>
      <c r="B4" s="41">
        <f>'التكاليف عير المباشرة'!B10</f>
        <v>21927926</v>
      </c>
      <c r="C4" s="42" t="s">
        <v>16</v>
      </c>
      <c r="D4" s="42"/>
      <c r="E4" s="22">
        <v>2</v>
      </c>
    </row>
    <row r="5" spans="1:6" ht="21.75" x14ac:dyDescent="0.5">
      <c r="A5" s="2"/>
      <c r="B5" s="41">
        <f>'اعمال تغيرية'!B7</f>
        <v>335635</v>
      </c>
      <c r="C5" s="42" t="s">
        <v>17</v>
      </c>
      <c r="D5" s="42"/>
      <c r="E5" s="22">
        <v>3</v>
      </c>
      <c r="F5" s="3"/>
    </row>
    <row r="6" spans="1:6" ht="21.75" x14ac:dyDescent="0.5">
      <c r="A6" s="2"/>
      <c r="B6" s="41">
        <f>'فوات الربح'!B9</f>
        <v>3855852</v>
      </c>
      <c r="C6" s="42" t="s">
        <v>12</v>
      </c>
      <c r="D6" s="42"/>
      <c r="E6" s="22">
        <v>4</v>
      </c>
      <c r="F6" s="3"/>
    </row>
    <row r="7" spans="1:6" ht="21.75" x14ac:dyDescent="0.5">
      <c r="A7" s="2"/>
      <c r="B7" s="41">
        <v>823813.13</v>
      </c>
      <c r="C7" s="42" t="s">
        <v>24</v>
      </c>
      <c r="D7" s="42"/>
      <c r="E7" s="22">
        <v>5</v>
      </c>
      <c r="F7" s="3"/>
    </row>
    <row r="8" spans="1:6" ht="21.75" x14ac:dyDescent="0.5">
      <c r="A8" s="2"/>
      <c r="B8" s="41">
        <v>397000</v>
      </c>
      <c r="C8" s="42" t="s">
        <v>38</v>
      </c>
      <c r="D8" s="42"/>
      <c r="E8" s="22">
        <v>6</v>
      </c>
      <c r="F8" s="3"/>
    </row>
    <row r="9" spans="1:6" ht="21.75" x14ac:dyDescent="0.5">
      <c r="A9" s="2"/>
      <c r="B9" s="40">
        <v>1433751.25</v>
      </c>
      <c r="C9" s="28" t="s">
        <v>39</v>
      </c>
      <c r="D9" s="28"/>
      <c r="E9" s="22">
        <v>7</v>
      </c>
      <c r="F9" s="3"/>
    </row>
    <row r="10" spans="1:6" ht="21.75" x14ac:dyDescent="0.5">
      <c r="A10" s="2"/>
      <c r="B10" s="40">
        <v>5617500</v>
      </c>
      <c r="C10" s="43" t="s">
        <v>40</v>
      </c>
      <c r="D10" s="43"/>
      <c r="E10" s="22">
        <v>8</v>
      </c>
      <c r="F10" s="3"/>
    </row>
    <row r="11" spans="1:6" ht="21.75" x14ac:dyDescent="0.5">
      <c r="A11" s="2"/>
      <c r="B11" s="40">
        <v>284150</v>
      </c>
      <c r="C11" s="43" t="s">
        <v>41</v>
      </c>
      <c r="D11" s="43"/>
      <c r="E11" s="22">
        <v>9</v>
      </c>
      <c r="F11" s="3"/>
    </row>
    <row r="12" spans="1:6" ht="22.5" thickBot="1" x14ac:dyDescent="0.55000000000000004">
      <c r="A12" s="2"/>
      <c r="B12" s="46">
        <f>SUM(B3:B10)</f>
        <v>44414279.980000004</v>
      </c>
      <c r="C12" s="47" t="s">
        <v>2</v>
      </c>
      <c r="D12" s="47"/>
      <c r="E12" s="34"/>
      <c r="F12" s="4"/>
    </row>
    <row r="13" spans="1:6" ht="15" x14ac:dyDescent="0.25">
      <c r="A13" s="2"/>
      <c r="B13" s="2"/>
      <c r="C13" s="2"/>
      <c r="F13" s="4"/>
    </row>
    <row r="14" spans="1:6" x14ac:dyDescent="0.2">
      <c r="F14" s="4"/>
    </row>
    <row r="15" spans="1:6" x14ac:dyDescent="0.2">
      <c r="B15" s="12"/>
      <c r="F15" s="5"/>
    </row>
    <row r="16" spans="1:6" x14ac:dyDescent="0.2">
      <c r="B16" s="11"/>
    </row>
    <row r="17" spans="2:3" x14ac:dyDescent="0.2">
      <c r="B17" s="12"/>
      <c r="C17" s="12"/>
    </row>
    <row r="18" spans="2:3" x14ac:dyDescent="0.2">
      <c r="B18" s="13"/>
    </row>
    <row r="19" spans="2:3" x14ac:dyDescent="0.2">
      <c r="B19" s="13"/>
    </row>
  </sheetData>
  <mergeCells count="11">
    <mergeCell ref="C12:D12"/>
    <mergeCell ref="C6:D6"/>
    <mergeCell ref="C2:D2"/>
    <mergeCell ref="C3:D3"/>
    <mergeCell ref="C4:D4"/>
    <mergeCell ref="C5:D5"/>
    <mergeCell ref="C7:D7"/>
    <mergeCell ref="C8:D8"/>
    <mergeCell ref="C9:D9"/>
    <mergeCell ref="C10:D10"/>
    <mergeCell ref="C11:D11"/>
  </mergeCells>
  <pageMargins left="0.7" right="0.7" top="0.75" bottom="0.75" header="0.3" footer="0.3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314-635F-40BF-A47E-FD08CFE7531F}">
  <dimension ref="A1:E14"/>
  <sheetViews>
    <sheetView view="pageBreakPreview" zoomScaleNormal="100" zoomScaleSheetLayoutView="100" workbookViewId="0">
      <selection activeCell="C7" sqref="C7:D7"/>
    </sheetView>
  </sheetViews>
  <sheetFormatPr defaultColWidth="11.42578125" defaultRowHeight="12.75" x14ac:dyDescent="0.2"/>
  <cols>
    <col min="1" max="1" width="12.7109375" style="1" bestFit="1" customWidth="1"/>
    <col min="2" max="2" width="19.7109375" style="1" bestFit="1" customWidth="1"/>
    <col min="3" max="3" width="11.42578125" style="1"/>
    <col min="4" max="4" width="69.28515625" style="1" customWidth="1"/>
    <col min="5" max="5" width="7.85546875" style="1" customWidth="1"/>
    <col min="6" max="16384" width="11.42578125" style="1"/>
  </cols>
  <sheetData>
    <row r="1" spans="1:5" ht="13.5" thickBot="1" x14ac:dyDescent="0.25"/>
    <row r="2" spans="1:5" ht="18.75" x14ac:dyDescent="0.3">
      <c r="B2" s="16" t="s">
        <v>0</v>
      </c>
      <c r="C2" s="17" t="s">
        <v>18</v>
      </c>
      <c r="D2" s="19"/>
      <c r="E2" s="21" t="s">
        <v>31</v>
      </c>
    </row>
    <row r="3" spans="1:5" ht="21.75" x14ac:dyDescent="0.5">
      <c r="B3" s="10">
        <v>0.3</v>
      </c>
      <c r="C3" s="14" t="s">
        <v>21</v>
      </c>
      <c r="D3" s="20"/>
      <c r="E3" s="22">
        <v>1</v>
      </c>
    </row>
    <row r="4" spans="1:5" ht="21.75" x14ac:dyDescent="0.5">
      <c r="B4" s="7">
        <f>58422000*0.85</f>
        <v>49658700</v>
      </c>
      <c r="C4" s="14" t="s">
        <v>20</v>
      </c>
      <c r="D4" s="20"/>
      <c r="E4" s="22">
        <v>2</v>
      </c>
    </row>
    <row r="5" spans="1:5" ht="21.75" x14ac:dyDescent="0.5">
      <c r="B5" s="8">
        <v>850</v>
      </c>
      <c r="C5" s="14" t="s">
        <v>4</v>
      </c>
      <c r="D5" s="20"/>
      <c r="E5" s="22">
        <v>3</v>
      </c>
    </row>
    <row r="6" spans="1:5" ht="21.75" x14ac:dyDescent="0.5">
      <c r="B6" s="9">
        <f>(B4*B3)/B5</f>
        <v>17526.599999999999</v>
      </c>
      <c r="C6" s="14" t="s">
        <v>19</v>
      </c>
      <c r="D6" s="20"/>
      <c r="E6" s="22">
        <v>4</v>
      </c>
    </row>
    <row r="7" spans="1:5" ht="21.75" x14ac:dyDescent="0.5">
      <c r="A7" s="5"/>
      <c r="B7" s="8">
        <f>1284-287-436</f>
        <v>561</v>
      </c>
      <c r="C7" s="14" t="s">
        <v>30</v>
      </c>
      <c r="D7" s="20"/>
      <c r="E7" s="22">
        <v>5</v>
      </c>
    </row>
    <row r="8" spans="1:5" ht="21.75" x14ac:dyDescent="0.5">
      <c r="A8" s="5"/>
      <c r="B8" s="9">
        <f>B6*B7</f>
        <v>9832422.5999999996</v>
      </c>
      <c r="C8" s="14" t="s">
        <v>36</v>
      </c>
      <c r="D8" s="20"/>
      <c r="E8" s="22">
        <v>6</v>
      </c>
    </row>
    <row r="9" spans="1:5" ht="21.75" x14ac:dyDescent="0.5">
      <c r="A9" s="5"/>
      <c r="B9" s="9">
        <f>200000/850</f>
        <v>235.29411764705881</v>
      </c>
      <c r="C9" s="14" t="s">
        <v>25</v>
      </c>
      <c r="D9" s="20"/>
      <c r="E9" s="22">
        <v>7</v>
      </c>
    </row>
    <row r="10" spans="1:5" ht="21.75" x14ac:dyDescent="0.5">
      <c r="A10" s="5"/>
      <c r="B10" s="9">
        <f>B7*B9</f>
        <v>132000</v>
      </c>
      <c r="C10" s="14" t="s">
        <v>35</v>
      </c>
      <c r="D10" s="20"/>
      <c r="E10" s="22">
        <v>8</v>
      </c>
    </row>
    <row r="11" spans="1:5" ht="21.75" x14ac:dyDescent="0.5">
      <c r="A11" s="5"/>
      <c r="B11" s="9">
        <f>300000/850</f>
        <v>352.94117647058823</v>
      </c>
      <c r="C11" s="14" t="s">
        <v>26</v>
      </c>
      <c r="D11" s="20"/>
      <c r="E11" s="22">
        <v>9</v>
      </c>
    </row>
    <row r="12" spans="1:5" ht="21.75" x14ac:dyDescent="0.5">
      <c r="A12" s="5"/>
      <c r="B12" s="9">
        <f>B11*B7</f>
        <v>198000</v>
      </c>
      <c r="C12" s="14" t="s">
        <v>34</v>
      </c>
      <c r="D12" s="20"/>
      <c r="E12" s="22">
        <v>10</v>
      </c>
    </row>
    <row r="13" spans="1:5" ht="22.5" thickBot="1" x14ac:dyDescent="0.55000000000000004">
      <c r="A13" s="5"/>
      <c r="B13" s="9">
        <v>58380</v>
      </c>
      <c r="C13" s="14" t="s">
        <v>33</v>
      </c>
      <c r="D13" s="20"/>
      <c r="E13" s="22">
        <v>11</v>
      </c>
    </row>
    <row r="14" spans="1:5" ht="19.5" thickBot="1" x14ac:dyDescent="0.35">
      <c r="A14" s="6"/>
      <c r="B14" s="18">
        <f>B8+B10+B13</f>
        <v>10022802.6</v>
      </c>
      <c r="C14" s="17" t="s">
        <v>32</v>
      </c>
      <c r="D14" s="19"/>
      <c r="E14" s="23"/>
    </row>
  </sheetData>
  <mergeCells count="13">
    <mergeCell ref="C8:D8"/>
    <mergeCell ref="C14:D14"/>
    <mergeCell ref="C2:D2"/>
    <mergeCell ref="C3:D3"/>
    <mergeCell ref="C4:D4"/>
    <mergeCell ref="C5:D5"/>
    <mergeCell ref="C6:D6"/>
    <mergeCell ref="C7:D7"/>
    <mergeCell ref="C9:D9"/>
    <mergeCell ref="C10:D10"/>
    <mergeCell ref="C11:D11"/>
    <mergeCell ref="C12:D12"/>
    <mergeCell ref="C13:D13"/>
  </mergeCells>
  <pageMargins left="0.7" right="0.7" top="0.75" bottom="0.75" header="0.3" footer="0.3"/>
  <pageSetup paperSize="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0F10-96CC-4067-904A-F8BC68C2DF35}">
  <dimension ref="A1:E10"/>
  <sheetViews>
    <sheetView view="pageBreakPreview" zoomScale="145" zoomScaleNormal="100" zoomScaleSheetLayoutView="145" workbookViewId="0">
      <selection activeCell="C7" sqref="C7:D7"/>
    </sheetView>
  </sheetViews>
  <sheetFormatPr defaultColWidth="11.42578125" defaultRowHeight="12.75" x14ac:dyDescent="0.2"/>
  <cols>
    <col min="1" max="1" width="12.7109375" style="1" bestFit="1" customWidth="1"/>
    <col min="2" max="2" width="19.7109375" style="1" bestFit="1" customWidth="1"/>
    <col min="3" max="3" width="11.42578125" style="1"/>
    <col min="4" max="4" width="66.28515625" style="1" customWidth="1"/>
    <col min="5" max="5" width="5.7109375" style="1" customWidth="1"/>
    <col min="6" max="16384" width="11.42578125" style="1"/>
  </cols>
  <sheetData>
    <row r="1" spans="1:5" ht="13.5" thickBot="1" x14ac:dyDescent="0.25"/>
    <row r="2" spans="1:5" ht="21.75" x14ac:dyDescent="0.5">
      <c r="B2" s="24" t="s">
        <v>0</v>
      </c>
      <c r="C2" s="25" t="s">
        <v>3</v>
      </c>
      <c r="D2" s="25"/>
      <c r="E2" s="26" t="s">
        <v>31</v>
      </c>
    </row>
    <row r="3" spans="1:5" ht="21.75" x14ac:dyDescent="0.5">
      <c r="B3" s="27">
        <v>0.05</v>
      </c>
      <c r="C3" s="28" t="s">
        <v>14</v>
      </c>
      <c r="D3" s="28"/>
      <c r="E3" s="22">
        <v>1</v>
      </c>
    </row>
    <row r="4" spans="1:5" ht="21.75" x14ac:dyDescent="0.5">
      <c r="B4" s="29">
        <v>58422000</v>
      </c>
      <c r="C4" s="28" t="s">
        <v>9</v>
      </c>
      <c r="D4" s="28"/>
      <c r="E4" s="22">
        <v>2</v>
      </c>
    </row>
    <row r="5" spans="1:5" ht="21.75" x14ac:dyDescent="0.5">
      <c r="B5" s="30">
        <v>850</v>
      </c>
      <c r="C5" s="28" t="s">
        <v>4</v>
      </c>
      <c r="D5" s="28"/>
      <c r="E5" s="22">
        <v>3</v>
      </c>
    </row>
    <row r="6" spans="1:5" ht="21.75" x14ac:dyDescent="0.5">
      <c r="B6" s="31">
        <f>(B4*B3)/B5</f>
        <v>3436.5882352941176</v>
      </c>
      <c r="C6" s="28" t="s">
        <v>5</v>
      </c>
      <c r="D6" s="28"/>
      <c r="E6" s="22">
        <v>4</v>
      </c>
    </row>
    <row r="7" spans="1:5" ht="21.75" x14ac:dyDescent="0.5">
      <c r="A7" s="5"/>
      <c r="B7" s="30">
        <v>561</v>
      </c>
      <c r="C7" s="28" t="s">
        <v>30</v>
      </c>
      <c r="D7" s="28"/>
      <c r="E7" s="22">
        <v>5</v>
      </c>
    </row>
    <row r="8" spans="1:5" ht="21.75" x14ac:dyDescent="0.5">
      <c r="A8" s="5"/>
      <c r="B8" s="31">
        <f>B6*B7</f>
        <v>1927926</v>
      </c>
      <c r="C8" s="28" t="s">
        <v>28</v>
      </c>
      <c r="D8" s="28"/>
      <c r="E8" s="22">
        <v>6</v>
      </c>
    </row>
    <row r="9" spans="1:5" ht="21.75" x14ac:dyDescent="0.5">
      <c r="A9" s="5"/>
      <c r="B9" s="31">
        <v>20000000</v>
      </c>
      <c r="C9" s="28" t="s">
        <v>29</v>
      </c>
      <c r="D9" s="28"/>
      <c r="E9" s="22">
        <v>7</v>
      </c>
    </row>
    <row r="10" spans="1:5" ht="22.5" thickBot="1" x14ac:dyDescent="0.55000000000000004">
      <c r="A10" s="6"/>
      <c r="B10" s="32">
        <f>B8+B9</f>
        <v>21927926</v>
      </c>
      <c r="C10" s="33" t="s">
        <v>27</v>
      </c>
      <c r="D10" s="33"/>
      <c r="E10" s="34"/>
    </row>
  </sheetData>
  <mergeCells count="9">
    <mergeCell ref="C8:D8"/>
    <mergeCell ref="C10:D10"/>
    <mergeCell ref="C2:D2"/>
    <mergeCell ref="C3:D3"/>
    <mergeCell ref="C4:D4"/>
    <mergeCell ref="C5:D5"/>
    <mergeCell ref="C6:D6"/>
    <mergeCell ref="C7:D7"/>
    <mergeCell ref="C9:D9"/>
  </mergeCells>
  <pageMargins left="0.7" right="0.7" top="0.75" bottom="0.75" header="0.3" footer="0.3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6122-C70B-4348-8CD9-E8C5988280FF}">
  <dimension ref="B1:E10"/>
  <sheetViews>
    <sheetView view="pageBreakPreview" zoomScale="160" zoomScaleNormal="150" zoomScaleSheetLayoutView="160" workbookViewId="0">
      <selection activeCell="E3" sqref="B3:E7"/>
    </sheetView>
  </sheetViews>
  <sheetFormatPr defaultColWidth="8.85546875" defaultRowHeight="12.75" x14ac:dyDescent="0.2"/>
  <cols>
    <col min="1" max="1" width="8.85546875" style="1"/>
    <col min="2" max="2" width="16" style="1" bestFit="1" customWidth="1"/>
    <col min="3" max="3" width="7.140625" style="1" hidden="1" customWidth="1"/>
    <col min="4" max="4" width="66.42578125" style="1" customWidth="1"/>
    <col min="5" max="5" width="5.5703125" style="1" customWidth="1"/>
    <col min="6" max="16384" width="8.85546875" style="1"/>
  </cols>
  <sheetData>
    <row r="1" spans="2:5" ht="18" customHeight="1" x14ac:dyDescent="0.2"/>
    <row r="2" spans="2:5" ht="25.5" customHeight="1" thickBot="1" x14ac:dyDescent="0.25"/>
    <row r="3" spans="2:5" ht="21.75" x14ac:dyDescent="0.5">
      <c r="B3" s="37" t="s">
        <v>0</v>
      </c>
      <c r="C3" s="25" t="s">
        <v>13</v>
      </c>
      <c r="D3" s="25"/>
      <c r="E3" s="26" t="s">
        <v>31</v>
      </c>
    </row>
    <row r="4" spans="2:5" ht="21.75" x14ac:dyDescent="0.5">
      <c r="B4" s="35">
        <v>53865</v>
      </c>
      <c r="C4" s="28" t="s">
        <v>22</v>
      </c>
      <c r="D4" s="28"/>
      <c r="E4" s="22">
        <v>1</v>
      </c>
    </row>
    <row r="5" spans="2:5" ht="21.75" x14ac:dyDescent="0.5">
      <c r="B5" s="35">
        <v>312480</v>
      </c>
      <c r="C5" s="28" t="s">
        <v>23</v>
      </c>
      <c r="D5" s="28"/>
      <c r="E5" s="22">
        <v>2</v>
      </c>
    </row>
    <row r="6" spans="2:5" ht="21.75" x14ac:dyDescent="0.5">
      <c r="B6" s="35">
        <v>-30710</v>
      </c>
      <c r="C6" s="28" t="s">
        <v>37</v>
      </c>
      <c r="D6" s="28"/>
      <c r="E6" s="22">
        <v>3</v>
      </c>
    </row>
    <row r="7" spans="2:5" ht="22.5" thickBot="1" x14ac:dyDescent="0.55000000000000004">
      <c r="B7" s="38">
        <f>SUM(B4:B6)</f>
        <v>335635</v>
      </c>
      <c r="C7" s="33" t="s">
        <v>7</v>
      </c>
      <c r="D7" s="33"/>
      <c r="E7" s="39"/>
    </row>
    <row r="10" spans="2:5" ht="18.75" x14ac:dyDescent="0.3">
      <c r="D10" s="14"/>
      <c r="E10" s="15"/>
    </row>
  </sheetData>
  <mergeCells count="6">
    <mergeCell ref="C7:D7"/>
    <mergeCell ref="D10:E10"/>
    <mergeCell ref="C3:D3"/>
    <mergeCell ref="C4:D4"/>
    <mergeCell ref="C5:D5"/>
    <mergeCell ref="C6:D6"/>
  </mergeCells>
  <pageMargins left="0.7" right="0.7" top="0.75" bottom="0.75" header="0.3" footer="0.3"/>
  <pageSetup paperSize="9" scale="7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64AD-2817-42D5-B57C-DED9661B4F41}">
  <dimension ref="B1:F12"/>
  <sheetViews>
    <sheetView view="pageBreakPreview" zoomScale="145" zoomScaleNormal="115" zoomScaleSheetLayoutView="145" workbookViewId="0">
      <selection activeCell="G4" sqref="G4"/>
    </sheetView>
  </sheetViews>
  <sheetFormatPr defaultColWidth="8.85546875" defaultRowHeight="12.75" x14ac:dyDescent="0.2"/>
  <cols>
    <col min="1" max="1" width="8.85546875" style="1"/>
    <col min="2" max="2" width="15.28515625" style="1" bestFit="1" customWidth="1"/>
    <col min="3" max="3" width="8.85546875" style="1"/>
    <col min="4" max="4" width="59.28515625" style="1" customWidth="1"/>
    <col min="5" max="5" width="6.28515625" style="1" customWidth="1"/>
    <col min="6" max="6" width="13.42578125" style="1" bestFit="1" customWidth="1"/>
    <col min="7" max="16384" width="8.85546875" style="1"/>
  </cols>
  <sheetData>
    <row r="1" spans="2:6" ht="18" customHeight="1" x14ac:dyDescent="0.2"/>
    <row r="2" spans="2:6" ht="25.5" customHeight="1" thickBot="1" x14ac:dyDescent="0.25"/>
    <row r="3" spans="2:6" ht="21.75" x14ac:dyDescent="0.5">
      <c r="B3" s="37" t="s">
        <v>0</v>
      </c>
      <c r="C3" s="25" t="s">
        <v>8</v>
      </c>
      <c r="D3" s="25"/>
      <c r="E3" s="26" t="s">
        <v>31</v>
      </c>
    </row>
    <row r="4" spans="2:6" ht="21.75" x14ac:dyDescent="0.5">
      <c r="B4" s="35">
        <v>58422000</v>
      </c>
      <c r="C4" s="28" t="s">
        <v>9</v>
      </c>
      <c r="D4" s="28"/>
      <c r="E4" s="22">
        <v>1</v>
      </c>
    </row>
    <row r="5" spans="2:6" ht="21.75" x14ac:dyDescent="0.5">
      <c r="B5" s="35">
        <f>B4*0.1</f>
        <v>5842200</v>
      </c>
      <c r="C5" s="28" t="s">
        <v>10</v>
      </c>
      <c r="D5" s="28"/>
      <c r="E5" s="22">
        <v>2</v>
      </c>
      <c r="F5" s="5"/>
    </row>
    <row r="6" spans="2:6" ht="21.75" x14ac:dyDescent="0.5">
      <c r="B6" s="36">
        <v>850</v>
      </c>
      <c r="C6" s="28" t="s">
        <v>4</v>
      </c>
      <c r="D6" s="28"/>
      <c r="E6" s="22">
        <v>3</v>
      </c>
      <c r="F6" s="5"/>
    </row>
    <row r="7" spans="2:6" ht="21.75" x14ac:dyDescent="0.5">
      <c r="B7" s="35">
        <f>B5/B6</f>
        <v>6873.1764705882351</v>
      </c>
      <c r="C7" s="28" t="s">
        <v>11</v>
      </c>
      <c r="D7" s="28"/>
      <c r="E7" s="22">
        <v>4</v>
      </c>
    </row>
    <row r="8" spans="2:6" ht="21.75" x14ac:dyDescent="0.5">
      <c r="B8" s="36">
        <v>561</v>
      </c>
      <c r="C8" s="28" t="s">
        <v>30</v>
      </c>
      <c r="D8" s="28"/>
      <c r="E8" s="22">
        <v>5</v>
      </c>
    </row>
    <row r="9" spans="2:6" ht="22.5" thickBot="1" x14ac:dyDescent="0.55000000000000004">
      <c r="B9" s="38">
        <f>B8*B7</f>
        <v>3855852</v>
      </c>
      <c r="C9" s="33" t="s">
        <v>6</v>
      </c>
      <c r="D9" s="33"/>
      <c r="E9" s="34"/>
    </row>
    <row r="12" spans="2:6" ht="18.75" x14ac:dyDescent="0.3">
      <c r="D12" s="14"/>
      <c r="E12" s="15"/>
    </row>
  </sheetData>
  <mergeCells count="8">
    <mergeCell ref="C9:D9"/>
    <mergeCell ref="D12:E12"/>
    <mergeCell ref="C3:D3"/>
    <mergeCell ref="C4:D4"/>
    <mergeCell ref="C5:D5"/>
    <mergeCell ref="C6:D6"/>
    <mergeCell ref="C7:D7"/>
    <mergeCell ref="C8:D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ملخص المستحقات</vt:lpstr>
      <vt:lpstr>التكاليف المباشرة</vt:lpstr>
      <vt:lpstr>التكاليف عير المباشرة</vt:lpstr>
      <vt:lpstr>اعمال تغيرية</vt:lpstr>
      <vt:lpstr>فوات الربح</vt:lpstr>
      <vt:lpstr>'اعمال تغيرية'!Print_Area</vt:lpstr>
      <vt:lpstr>'التكاليف المباشرة'!Print_Area</vt:lpstr>
      <vt:lpstr>'التكاليف عير المباشرة'!Print_Area</vt:lpstr>
      <vt:lpstr>'فوات الربح'!Print_Area</vt:lpstr>
      <vt:lpstr>'ملخص المستحقات'!Print_Area</vt:lpstr>
    </vt:vector>
  </TitlesOfParts>
  <Company>Thost Projektmanagement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</dc:creator>
  <cp:lastModifiedBy>Essam Lotfi</cp:lastModifiedBy>
  <cp:lastPrinted>2010-11-17T09:41:46Z</cp:lastPrinted>
  <dcterms:created xsi:type="dcterms:W3CDTF">2008-02-01T08:54:16Z</dcterms:created>
  <dcterms:modified xsi:type="dcterms:W3CDTF">2024-05-07T19:38:40Z</dcterms:modified>
</cp:coreProperties>
</file>